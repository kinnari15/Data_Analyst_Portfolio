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nnari\OneDrive\Desktop\DATA ANALYTICS\EXCEL\"/>
    </mc:Choice>
  </mc:AlternateContent>
  <xr:revisionPtr revIDLastSave="0" documentId="13_ncr:1_{5D459733-0BA5-4745-9956-95559C682B43}" xr6:coauthVersionLast="47" xr6:coauthVersionMax="47" xr10:uidLastSave="{00000000-0000-0000-0000-000000000000}"/>
  <bookViews>
    <workbookView xWindow="9600" yWindow="0" windowWidth="9600" windowHeight="10200" firstSheet="10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K2" i="5"/>
  <c r="J2" i="5"/>
  <c r="L2" i="12"/>
  <c r="K2" i="12"/>
  <c r="J2" i="12"/>
  <c r="K3" i="7"/>
  <c r="K4" i="7"/>
  <c r="K5" i="7"/>
  <c r="K6" i="7"/>
  <c r="K7" i="7"/>
  <c r="K8" i="7"/>
  <c r="K9" i="7"/>
  <c r="K10" i="7"/>
  <c r="K2" i="7"/>
  <c r="J3" i="7"/>
  <c r="J4" i="7"/>
  <c r="J5" i="7"/>
  <c r="J6" i="7"/>
  <c r="J7" i="7"/>
  <c r="J8" i="7"/>
  <c r="J9" i="7"/>
  <c r="J10" i="7"/>
  <c r="J2" i="7"/>
  <c r="L3" i="7"/>
  <c r="L4" i="7"/>
  <c r="L5" i="7"/>
  <c r="L6" i="7"/>
  <c r="L7" i="7"/>
  <c r="L8" i="7"/>
  <c r="L9" i="7"/>
  <c r="L10" i="7"/>
  <c r="L2" i="7"/>
  <c r="J3" i="1"/>
  <c r="J4" i="1"/>
  <c r="J5" i="1"/>
  <c r="J6" i="1"/>
  <c r="J7" i="1"/>
  <c r="J8" i="1"/>
  <c r="J9" i="1"/>
  <c r="J10" i="1"/>
  <c r="J2" i="1"/>
  <c r="J3" i="6"/>
  <c r="J4" i="6"/>
  <c r="J5" i="6"/>
  <c r="J6" i="6"/>
  <c r="J7" i="6"/>
  <c r="J8" i="6"/>
  <c r="J9" i="6"/>
  <c r="J10" i="6"/>
  <c r="J2" i="6"/>
  <c r="J3" i="3"/>
  <c r="J4" i="3"/>
  <c r="J5" i="3"/>
  <c r="J6" i="3"/>
  <c r="J7" i="3"/>
  <c r="J8" i="3"/>
  <c r="J9" i="3"/>
  <c r="J10" i="3"/>
  <c r="J2" i="3"/>
  <c r="M3" i="4"/>
  <c r="M4" i="4"/>
  <c r="M5" i="4"/>
  <c r="M6" i="4"/>
  <c r="M7" i="4"/>
  <c r="M8" i="4"/>
  <c r="M9" i="4"/>
  <c r="M10" i="4"/>
  <c r="M2" i="4"/>
  <c r="L3" i="4"/>
  <c r="L4" i="4"/>
  <c r="L5" i="4"/>
  <c r="L6" i="4"/>
  <c r="L7" i="4"/>
  <c r="L8" i="4"/>
  <c r="L9" i="4"/>
  <c r="L10" i="4"/>
  <c r="L2" i="4"/>
  <c r="K3" i="4"/>
  <c r="K4" i="4"/>
  <c r="K5" i="4"/>
  <c r="K6" i="4"/>
  <c r="K7" i="4"/>
  <c r="K8" i="4"/>
  <c r="K9" i="4"/>
  <c r="K10" i="4"/>
  <c r="K2" i="4"/>
  <c r="J3" i="2"/>
  <c r="J4" i="2"/>
  <c r="J5" i="2"/>
  <c r="J6" i="2"/>
  <c r="J7" i="2"/>
  <c r="J8" i="2"/>
  <c r="J9" i="2"/>
  <c r="J10" i="2"/>
  <c r="J2" i="2"/>
  <c r="J3" i="8"/>
  <c r="J4" i="8"/>
  <c r="J5" i="8"/>
  <c r="J6" i="8"/>
  <c r="J7" i="8"/>
  <c r="J8" i="8"/>
  <c r="J9" i="8"/>
  <c r="J10" i="8"/>
  <c r="J2" i="8"/>
  <c r="K3" i="9"/>
  <c r="J3" i="9"/>
  <c r="K2" i="9"/>
  <c r="J2" i="9"/>
  <c r="H11" i="1"/>
  <c r="H12" i="1"/>
</calcChain>
</file>

<file path=xl/sharedStrings.xml><?xml version="1.0" encoding="utf-8"?>
<sst xmlns="http://schemas.openxmlformats.org/spreadsheetml/2006/main" count="583" uniqueCount="89">
  <si>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</si>
  <si>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</si>
  <si>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</si>
  <si>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</si>
  <si>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</si>
  <si>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</si>
  <si>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</si>
  <si>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</si>
  <si>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</si>
  <si>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</si>
  <si>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</si>
  <si>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</si>
  <si>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</si>
  <si>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</si>
  <si>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</si>
  <si>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</si>
  <si>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</si>
  <si>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</si>
  <si>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</si>
  <si>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</si>
  <si>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</si>
  <si>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</si>
  <si>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</si>
  <si>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</si>
  <si>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</si>
  <si>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</si>
  <si>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</si>
  <si>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</si>
  <si>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</si>
  <si>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</si>
  <si>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</si>
  <si>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</si>
  <si>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</si>
  <si>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</si>
  <si>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</si>
  <si>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</si>
  <si>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</si>
  <si>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</si>
  <si>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</si>
  <si>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</si>
  <si>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</si>
  <si>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</si>
  <si>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</si>
  <si>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</si>
  <si>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</si>
  <si>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</si>
  <si>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</si>
  <si>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</si>
  <si>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</si>
  <si>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</si>
  <si>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</si>
  <si>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</si>
  <si>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</si>
  <si>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</si>
  <si>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</si>
  <si>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</si>
  <si>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</si>
  <si>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</si>
  <si>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</si>
  <si>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</si>
  <si>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</si>
  <si>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</si>
  <si>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</si>
  <si>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</si>
  <si>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</si>
  <si>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</si>
  <si>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</si>
  <si>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</si>
  <si>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</si>
  <si>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</si>
  <si>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</si>
  <si>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</si>
  <si>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</si>
  <si>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</si>
  <si>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</si>
  <si>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</si>
  <si>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</si>
  <si>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</si>
  <si>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</si>
  <si>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</si>
  <si>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</si>
  <si>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</si>
  <si>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</si>
  <si>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DAYS</t>
  </si>
  <si>
    <t>NETWORKDAYS</t>
  </si>
  <si>
    <t>Left</t>
  </si>
  <si>
    <t>Right</t>
  </si>
  <si>
    <t>=RIGHT(J2:J10,4</t>
  </si>
  <si>
    <t>12-3-2015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</si>
</sst>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topLeftCell="B1" zoomScale="59" zoomScaleNormal="59" workbookViewId="0">
      <selection activeCell="J17" sqref="J17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MAX(G2:G10)</f>
        <v>65000</v>
      </c>
      <c r="K3">
        <f>MIN(G2:G10)</f>
        <v>36000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J10"/>
  <sheetViews>
    <sheetView topLeftCell="C1" zoomScale="57" zoomScaleNormal="57" workbookViewId="0">
      <selection activeCell="H17" sqref="H17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0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</row>
    <row r="2" spans="1:10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IF(D2:D10&gt;30,"Old","Young")</f>
        <v>Young</v>
      </c>
    </row>
    <row r="3" spans="1:10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IF(D3:D11&gt;30,"Old","Young")</f>
        <v>Young</v>
      </c>
    </row>
    <row r="4" spans="1:10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Young</v>
      </c>
    </row>
    <row r="5" spans="1:10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Old</v>
      </c>
    </row>
    <row r="6" spans="1:10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Old</v>
      </c>
    </row>
    <row r="7" spans="1:10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Old</v>
      </c>
    </row>
    <row r="8" spans="1:10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Old</v>
      </c>
    </row>
    <row r="9" spans="1:10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Old</v>
      </c>
    </row>
    <row r="10" spans="1:10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Old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zoomScale="60" zoomScaleNormal="60" workbookViewId="0">
      <selection activeCell="H22" sqref="H22"/>
    </sheetView>
  </sheetViews>
  <sheetFormatPr defaultColWidth="10.90625" defaultRowHeight="14.5" x14ac:dyDescent="0.35"/>
  <cols>
    <col min="1" max="1" width="10.81640625" bestFit="1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LEN(C2:C10)</f>
        <v>7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>LEN(C3:C11)</f>
        <v>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7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6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10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f t="shared" si="0"/>
        <v>5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f t="shared" si="0"/>
        <v>6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f t="shared" si="0"/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topLeftCell="E1" zoomScale="45" zoomScaleNormal="45" workbookViewId="0">
      <selection activeCell="O5" sqref="O5"/>
    </sheetView>
  </sheetViews>
  <sheetFormatPr defaultColWidth="14.54296875" defaultRowHeight="14.5" x14ac:dyDescent="0.35"/>
  <cols>
    <col min="4" max="4" width="8" customWidth="1"/>
    <col min="10" max="10" width="32.36328125" bestFit="1" customWidth="1"/>
  </cols>
  <sheetData>
    <row r="1" spans="1:13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85</v>
      </c>
      <c r="L1" t="s">
        <v>86</v>
      </c>
      <c r="M1" t="s">
        <v>86</v>
      </c>
    </row>
    <row r="2" spans="1:13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>
        <f>LEFT(B2:B10,3)</f>
        <v>Jim</v>
      </c>
      <c r="L2" t="str">
        <f>RIGHT(A2:A10,1)</f>
        <v>1</v>
      </c>
      <c r="M2" t="str">
        <f>RIGHT(H2:H10, 4)</f>
        <v>2001</v>
      </c>
    </row>
    <row r="3" spans="1:13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f t="shared" ref="K3:K10" si="0">LEFT(B3:B11,3)</f>
        <v>Pam</v>
      </c>
      <c r="L3" t="str">
        <f t="shared" ref="L3:L10" si="1">RIGHT(A3:A11,1)</f>
        <v>2</v>
      </c>
      <c r="M3" t="str">
        <f t="shared" ref="M3:M10" si="2">RIGHT(H3:H11, 4)</f>
        <v>1999</v>
      </c>
    </row>
    <row r="4" spans="1:13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f t="shared" si="0"/>
        <v>Dwi</v>
      </c>
      <c r="L4" t="str">
        <f t="shared" si="1"/>
        <v>3</v>
      </c>
      <c r="M4" t="str">
        <f t="shared" si="2"/>
        <v>2000</v>
      </c>
    </row>
    <row r="5" spans="1:13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f t="shared" si="0"/>
        <v>Ang</v>
      </c>
      <c r="L5" t="str">
        <f t="shared" si="1"/>
        <v>4</v>
      </c>
      <c r="M5" t="str">
        <f t="shared" si="2"/>
        <v>2000</v>
      </c>
    </row>
    <row r="6" spans="1:13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f t="shared" si="0"/>
        <v>Tob</v>
      </c>
      <c r="L6" t="str">
        <f t="shared" si="1"/>
        <v>5</v>
      </c>
      <c r="M6" t="str">
        <f t="shared" si="2"/>
        <v>2001</v>
      </c>
    </row>
    <row r="7" spans="1:13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f t="shared" si="0"/>
        <v>Mic</v>
      </c>
      <c r="L7" t="str">
        <f t="shared" si="1"/>
        <v>6</v>
      </c>
      <c r="M7" t="str">
        <f t="shared" si="2"/>
        <v>2001</v>
      </c>
    </row>
    <row r="8" spans="1:13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f t="shared" si="0"/>
        <v>Mer</v>
      </c>
      <c r="L8" t="str">
        <f t="shared" si="1"/>
        <v>7</v>
      </c>
      <c r="M8" t="str">
        <f t="shared" si="2"/>
        <v>2003</v>
      </c>
    </row>
    <row r="9" spans="1:13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f t="shared" si="0"/>
        <v>Sta</v>
      </c>
      <c r="L9" t="str">
        <f t="shared" si="1"/>
        <v>8</v>
      </c>
      <c r="M9" t="str">
        <f t="shared" si="2"/>
        <v>2002</v>
      </c>
    </row>
    <row r="10" spans="1:13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f t="shared" si="0"/>
        <v>Kev</v>
      </c>
      <c r="L10" t="str">
        <f t="shared" si="1"/>
        <v>9</v>
      </c>
      <c r="M10" t="str">
        <f t="shared" si="2"/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K13"/>
  <sheetViews>
    <sheetView zoomScale="56" zoomScaleNormal="56" workbookViewId="0">
      <selection activeCell="F21" sqref="F21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TEXT(H2:H10, "dd/mm/yyyy")</f>
        <v>02/11/2001</v>
      </c>
      <c r="K2" s="2" t="s">
        <v>87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TEXT(H3:H11, "dd/mm/yyyy")</f>
        <v>03/10/1999</v>
      </c>
      <c r="K3" s="2"/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04/07/2000</v>
      </c>
      <c r="K4" s="2"/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05/01/2000</v>
      </c>
      <c r="K5" s="2"/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06/05/2001</v>
      </c>
      <c r="K6" s="2"/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07/12/1995</v>
      </c>
      <c r="K7" s="2"/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08/11/2003</v>
      </c>
      <c r="K8" s="2"/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09/06/2002</v>
      </c>
      <c r="K9" s="2"/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10/08/2003</v>
      </c>
      <c r="K10" s="2"/>
    </row>
    <row r="12" spans="1:11" x14ac:dyDescent="0.35">
      <c r="H12" s="1"/>
    </row>
    <row r="13" spans="1:11" x14ac:dyDescent="0.35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zoomScale="47" zoomScaleNormal="47" workbookViewId="0">
      <selection activeCell="H18" sqref="H18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35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TRIM(C2:C10)</f>
        <v>Halpert</v>
      </c>
    </row>
    <row r="3" spans="1:11" x14ac:dyDescent="0.35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TRIM(C3:C11)</f>
        <v>Beasley</v>
      </c>
    </row>
    <row r="4" spans="1:11" x14ac:dyDescent="0.35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Schrute</v>
      </c>
    </row>
    <row r="5" spans="1:11" x14ac:dyDescent="0.35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Martin</v>
      </c>
    </row>
    <row r="6" spans="1:11" x14ac:dyDescent="0.35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Flenderson</v>
      </c>
    </row>
    <row r="7" spans="1:11" x14ac:dyDescent="0.35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Scott</v>
      </c>
    </row>
    <row r="8" spans="1:11" x14ac:dyDescent="0.35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Palmer</v>
      </c>
    </row>
    <row r="9" spans="1:11" x14ac:dyDescent="0.35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Hudson</v>
      </c>
    </row>
    <row r="10" spans="1:11" x14ac:dyDescent="0.35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zoomScale="45" zoomScaleNormal="45" workbookViewId="0">
      <selection activeCell="J18" sqref="J18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>
        <f>SUBSTITUTE(H2:H10,"/","-",1)</f>
        <v>11-2/2001</v>
      </c>
      <c r="K2" t="str">
        <f>SUBSTITUTE(H2:H10,"/","-",2)</f>
        <v>11/2-2001</v>
      </c>
      <c r="L2" t="str">
        <f>SUBSTITUTE(I2:I10,"-","/")</f>
        <v>9/6/2015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f t="shared" ref="J3:J10" si="0">SUBSTITUTE(H3:H11,"/","-",1)</f>
        <v>10-3/1999</v>
      </c>
      <c r="K3" t="str">
        <f t="shared" ref="K3:K10" si="1">SUBSTITUTE(H3:H11,"/","-",2)</f>
        <v>10/3-1999</v>
      </c>
      <c r="L3" t="str">
        <f t="shared" ref="L3:L10" si="2">SUBSTITUTE(I3:I11,"-","/")</f>
        <v>10/10/2015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f t="shared" si="0"/>
        <v>7-4/2000</v>
      </c>
      <c r="K4" t="str">
        <f t="shared" si="1"/>
        <v>7/4-2000</v>
      </c>
      <c r="L4" t="str">
        <f t="shared" si="2"/>
        <v>9/8/2017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88</v>
      </c>
      <c r="J5" t="str">
        <f t="shared" si="0"/>
        <v>1-5/2000</v>
      </c>
      <c r="K5" t="str">
        <f t="shared" si="1"/>
        <v>1/5-2000</v>
      </c>
      <c r="L5" t="str">
        <f t="shared" si="2"/>
        <v>12/3/2015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f t="shared" si="0"/>
        <v>5-6/2001</v>
      </c>
      <c r="K6" t="str">
        <f t="shared" si="1"/>
        <v>5/6-2001</v>
      </c>
      <c r="L6" t="str">
        <f t="shared" si="2"/>
        <v>8/30/2017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f t="shared" si="0"/>
        <v>5-6/2001</v>
      </c>
      <c r="K7" t="str">
        <f t="shared" si="1"/>
        <v>5/6-2001</v>
      </c>
      <c r="L7" t="str">
        <f t="shared" si="2"/>
        <v>9/11/2013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f t="shared" si="0"/>
        <v>11-8/2003</v>
      </c>
      <c r="K8" t="str">
        <f t="shared" si="1"/>
        <v>11/8-2003</v>
      </c>
      <c r="L8" t="str">
        <f t="shared" si="2"/>
        <v>9/11/2013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f t="shared" si="0"/>
        <v>6-9/2002</v>
      </c>
      <c r="K9" t="str">
        <f t="shared" si="1"/>
        <v>6/9-2002</v>
      </c>
      <c r="L9" t="str">
        <f t="shared" si="2"/>
        <v>4/22/2015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f t="shared" si="0"/>
        <v>8-10/2003</v>
      </c>
      <c r="K10" t="str">
        <f t="shared" si="1"/>
        <v>8/10-2003</v>
      </c>
      <c r="L10" t="str">
        <f t="shared" si="2"/>
        <v>4/22/2015</v>
      </c>
    </row>
    <row r="12" spans="1:12" x14ac:dyDescent="0.35">
      <c r="H12" s="2"/>
      <c r="I12" s="2"/>
    </row>
    <row r="13" spans="1:12" x14ac:dyDescent="0.35">
      <c r="H13" s="2"/>
      <c r="I13" s="2"/>
    </row>
    <row r="14" spans="1:12" x14ac:dyDescent="0.35">
      <c r="H14" s="2"/>
      <c r="I14" s="2"/>
    </row>
    <row r="15" spans="1:12" x14ac:dyDescent="0.35">
      <c r="H15" s="2"/>
      <c r="I15" s="2"/>
    </row>
    <row r="16" spans="1:12" x14ac:dyDescent="0.35">
      <c r="H16" s="2"/>
      <c r="I16" s="2"/>
    </row>
    <row r="17" spans="8:9" x14ac:dyDescent="0.35">
      <c r="H17" s="2"/>
      <c r="I17" s="2"/>
    </row>
    <row r="18" spans="8:9" x14ac:dyDescent="0.35">
      <c r="H18" s="2"/>
      <c r="I18" s="2"/>
    </row>
    <row r="19" spans="8:9" x14ac:dyDescent="0.35">
      <c r="H19" s="2"/>
      <c r="I19" s="2"/>
    </row>
    <row r="20" spans="8:9" x14ac:dyDescent="0.35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topLeftCell="C1" zoomScale="54" zoomScaleNormal="54" workbookViewId="0">
      <selection activeCell="L11" sqref="L11"/>
    </sheetView>
  </sheetViews>
  <sheetFormatPr defaultColWidth="13" defaultRowHeight="14.5" x14ac:dyDescent="0.35"/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zoomScale="44" zoomScaleNormal="44" workbookViewId="0">
      <selection activeCell="K3" sqref="K3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COUNT(D2:D10)</f>
        <v>9</v>
      </c>
      <c r="K2">
        <f>COUNTIF(G2:G10,"&gt;45000")</f>
        <v>5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J12"/>
  <sheetViews>
    <sheetView topLeftCell="C1" zoomScale="65" zoomScaleNormal="65" workbookViewId="0">
      <selection activeCell="I17" sqref="I17"/>
    </sheetView>
  </sheetViews>
  <sheetFormatPr defaultRowHeight="14.5" x14ac:dyDescent="0.35"/>
  <cols>
    <col min="2" max="2" width="10.453125" customWidth="1"/>
    <col min="3" max="5" width="10.6328125" customWidth="1"/>
    <col min="6" max="6" width="16.54296875" customWidth="1"/>
    <col min="8" max="8" width="14.1796875" customWidth="1"/>
    <col min="9" max="9" width="14.81640625" customWidth="1"/>
    <col min="10" max="10" width="22" bestFit="1" customWidth="1"/>
  </cols>
  <sheetData>
    <row r="1" spans="1:10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0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CONCATENATE(B2," ",C2)</f>
        <v>Jim Halpert</v>
      </c>
    </row>
    <row r="3" spans="1:10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CONCATENATE(B3," ",C3)</f>
        <v>Pam Beasley</v>
      </c>
    </row>
    <row r="4" spans="1:10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</row>
    <row r="5" spans="1:10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</row>
    <row r="6" spans="1:10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</row>
    <row r="7" spans="1:10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</row>
    <row r="8" spans="1:10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</row>
    <row r="9" spans="1:10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</row>
    <row r="10" spans="1:10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</row>
    <row r="11" spans="1:10" x14ac:dyDescent="0.35">
      <c r="H11" t="str">
        <f t="shared" ref="H11:H12" si="1">CONCATENATE(B11," ",C11)</f>
        <v xml:space="preserve"> </v>
      </c>
    </row>
    <row r="12" spans="1:10" x14ac:dyDescent="0.35">
      <c r="H12" t="str">
        <f t="shared" si="1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zoomScale="48" zoomScaleNormal="48" workbookViewId="0">
      <selection activeCell="F31" sqref="F31"/>
    </sheetView>
  </sheetViews>
  <sheetFormatPr defaultRowHeight="14.5" x14ac:dyDescent="0.35"/>
  <cols>
    <col min="8" max="8" width="14.453125" customWidth="1"/>
    <col min="9" max="9" width="13.36328125" customWidth="1"/>
    <col min="10" max="10" width="14.6328125" customWidth="1"/>
    <col min="11" max="11" width="14.179687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83</v>
      </c>
      <c r="K1" t="s">
        <v>84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_xlfn.DAYS(I2:I10,H2:H10)</f>
        <v>5231</v>
      </c>
      <c r="K2" t="e">
        <f>NETWORKDAYS(H2:H10,I2:I10)</f>
        <v>#VALUE!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f t="shared" ref="J3:J10" si="0">_xlfn.DAYS(I3:I11,H3:H11)</f>
        <v>6058</v>
      </c>
      <c r="K3" t="e">
        <f t="shared" ref="K3:K10" si="1">NETWORKDAYS(H3:H11,I3:I11)</f>
        <v>#VALUE!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f t="shared" si="0"/>
        <v>6333</v>
      </c>
      <c r="K4" t="e">
        <f t="shared" si="1"/>
        <v>#VALUE!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f t="shared" si="0"/>
        <v>5428</v>
      </c>
      <c r="K5" t="e">
        <f t="shared" si="1"/>
        <v>#VALUE!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e">
        <f t="shared" si="0"/>
        <v>#VALUE!</v>
      </c>
      <c r="K6" t="e">
        <f t="shared" si="1"/>
        <v>#VALUE!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f t="shared" si="0"/>
        <v>4540</v>
      </c>
      <c r="K7" t="e">
        <f t="shared" si="1"/>
        <v>#VALUE!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f t="shared" si="0"/>
        <v>3743</v>
      </c>
      <c r="K8" t="e">
        <f t="shared" si="1"/>
        <v>#VALUE!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e">
        <f t="shared" si="0"/>
        <v>#VALUE!</v>
      </c>
      <c r="K9" t="e">
        <f t="shared" si="1"/>
        <v>#VALUE!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e">
        <f t="shared" si="0"/>
        <v>#VALUE!</v>
      </c>
      <c r="K10" t="e">
        <f t="shared" si="1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Kinnari Bhalerao</cp:lastModifiedBy>
  <dcterms:created xsi:type="dcterms:W3CDTF">2021-12-16T14:18:34Z</dcterms:created>
  <dcterms:modified xsi:type="dcterms:W3CDTF">2025-12-03T14:53:08Z</dcterms:modified>
</cp:coreProperties>
</file>