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60" documentId="8_{CA1C1F6C-51D4-4075-A6BA-0CCAB46C5FA8}" xr6:coauthVersionLast="47" xr6:coauthVersionMax="47" xr10:uidLastSave="{1D2A29BC-C670-40D1-9C87-BFD903A3D1B9}"/>
  <bookViews>
    <workbookView xWindow="-110" yWindow="-110" windowWidth="19420" windowHeight="10420" xr2:uid="{94709082-6C08-4863-A92D-4FD655606C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G28" i="1"/>
  <c r="H28" i="1"/>
  <c r="G27" i="1"/>
  <c r="H27" i="1"/>
  <c r="G26" i="1"/>
  <c r="H26" i="1"/>
  <c r="G25" i="1"/>
  <c r="H2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D28" i="1"/>
  <c r="C28" i="1"/>
  <c r="D27" i="1"/>
  <c r="D26" i="1"/>
  <c r="D25" i="1"/>
  <c r="C27" i="1"/>
  <c r="C26" i="1"/>
  <c r="C25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5" i="1"/>
  <c r="F6" i="1"/>
  <c r="F7" i="1"/>
  <c r="F8" i="1"/>
  <c r="F9" i="1"/>
  <c r="F4" i="1"/>
  <c r="F28" i="1" s="1"/>
  <c r="F27" i="1" l="1"/>
  <c r="F25" i="1"/>
  <c r="F26" i="1"/>
</calcChain>
</file>

<file path=xl/sharedStrings.xml><?xml version="1.0" encoding="utf-8"?>
<sst xmlns="http://schemas.openxmlformats.org/spreadsheetml/2006/main" count="55" uniqueCount="55">
  <si>
    <t>Employee</t>
  </si>
  <si>
    <t>Payroll</t>
  </si>
  <si>
    <t>Last Name</t>
  </si>
  <si>
    <t>First Name</t>
  </si>
  <si>
    <t>Hourly Wage</t>
  </si>
  <si>
    <t>Pay</t>
  </si>
  <si>
    <t>Aarav</t>
  </si>
  <si>
    <t>Mehta</t>
  </si>
  <si>
    <t>Riya</t>
  </si>
  <si>
    <t>Kapoor</t>
  </si>
  <si>
    <t>Ethan</t>
  </si>
  <si>
    <t>Miller</t>
  </si>
  <si>
    <t>Sophia</t>
  </si>
  <si>
    <t>Brown</t>
  </si>
  <si>
    <t>Arjun</t>
  </si>
  <si>
    <t>Iyer</t>
  </si>
  <si>
    <t>Priya</t>
  </si>
  <si>
    <t>Desai</t>
  </si>
  <si>
    <t>Liam</t>
  </si>
  <si>
    <t>Anderson</t>
  </si>
  <si>
    <t>Olivia</t>
  </si>
  <si>
    <t>Carter</t>
  </si>
  <si>
    <t>Kabir</t>
  </si>
  <si>
    <t>Sharma</t>
  </si>
  <si>
    <t>Anaya</t>
  </si>
  <si>
    <t>Reddy</t>
  </si>
  <si>
    <t>Mason</t>
  </si>
  <si>
    <t>Scott</t>
  </si>
  <si>
    <t>Charlotte</t>
  </si>
  <si>
    <t>Davis</t>
  </si>
  <si>
    <t>Veer</t>
  </si>
  <si>
    <t>Joshi</t>
  </si>
  <si>
    <t>Meera</t>
  </si>
  <si>
    <t>Choudhary</t>
  </si>
  <si>
    <t>Benjamin</t>
  </si>
  <si>
    <t>Harris</t>
  </si>
  <si>
    <t>Amelia</t>
  </si>
  <si>
    <t>Wilson</t>
  </si>
  <si>
    <t>Dev</t>
  </si>
  <si>
    <t>Anand</t>
  </si>
  <si>
    <t>Nisha</t>
  </si>
  <si>
    <t>Bhandari</t>
  </si>
  <si>
    <t>Noah</t>
  </si>
  <si>
    <t>Thompson</t>
  </si>
  <si>
    <t>Ava</t>
  </si>
  <si>
    <t>Mitchell</t>
  </si>
  <si>
    <t>Hours worked</t>
  </si>
  <si>
    <t>Max</t>
  </si>
  <si>
    <t>Min</t>
  </si>
  <si>
    <t>Average</t>
  </si>
  <si>
    <t>Total</t>
  </si>
  <si>
    <t>Overtime hours</t>
  </si>
  <si>
    <t>greater than 40 hours</t>
  </si>
  <si>
    <t>Overtime Bonus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</si>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</sst>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1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171" fontId="0" fillId="0" borderId="0" xfId="0" applyNumberFormat="1"/>
    <xf numFmtId="0" fontId="0" fillId="5" borderId="1" xfId="0" applyFill="1" applyBorder="1" applyAlignment="1">
      <alignment vertical="center" wrapText="1"/>
    </xf>
    <xf numFmtId="0" fontId="0" fillId="0" borderId="1" xfId="0" applyBorder="1"/>
    <xf numFmtId="171" fontId="0" fillId="0" borderId="1" xfId="0" applyNumberFormat="1" applyBorder="1"/>
    <xf numFmtId="0" fontId="0" fillId="0" borderId="1" xfId="0" applyNumberFormat="1" applyBorder="1"/>
    <xf numFmtId="0" fontId="0" fillId="4" borderId="1" xfId="0" applyFill="1" applyBorder="1"/>
    <xf numFmtId="16" fontId="0" fillId="4" borderId="1" xfId="0" applyNumberFormat="1" applyFill="1" applyBorder="1"/>
    <xf numFmtId="0" fontId="0" fillId="0" borderId="1" xfId="0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1" fontId="0" fillId="0" borderId="1" xfId="1" applyNumberFormat="1" applyFont="1" applyBorder="1"/>
    <xf numFmtId="0" fontId="0" fillId="4" borderId="2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9E59-43AF-4635-A9D4-39C2F9AA4A50}">
  <dimension ref="A1:H28"/>
  <sheetViews>
    <sheetView tabSelected="1" zoomScale="71" zoomScaleNormal="71" workbookViewId="0">
      <selection activeCell="L18" sqref="L18"/>
    </sheetView>
  </sheetViews>
  <sheetFormatPr defaultRowHeight="14.5" x14ac:dyDescent="0.35"/>
  <cols>
    <col min="1" max="1" width="17.7265625" customWidth="1"/>
    <col min="2" max="2" width="16.36328125" customWidth="1"/>
    <col min="3" max="3" width="16" customWidth="1"/>
    <col min="4" max="4" width="15.54296875" customWidth="1"/>
    <col min="5" max="5" width="22.453125" customWidth="1"/>
    <col min="6" max="6" width="17.36328125" customWidth="1"/>
    <col min="7" max="7" width="24.81640625" customWidth="1"/>
  </cols>
  <sheetData>
    <row r="1" spans="1:8" x14ac:dyDescent="0.35">
      <c r="A1" s="1" t="s">
        <v>0</v>
      </c>
      <c r="B1" s="1" t="s">
        <v>1</v>
      </c>
    </row>
    <row r="2" spans="1:8" x14ac:dyDescent="0.35">
      <c r="D2" s="2" t="s">
        <v>46</v>
      </c>
      <c r="E2" s="2" t="s">
        <v>51</v>
      </c>
      <c r="F2" s="2"/>
    </row>
    <row r="3" spans="1:8" x14ac:dyDescent="0.35">
      <c r="A3" s="8" t="s">
        <v>2</v>
      </c>
      <c r="B3" s="8" t="s">
        <v>3</v>
      </c>
      <c r="C3" s="8" t="s">
        <v>4</v>
      </c>
      <c r="D3" s="9">
        <v>45658</v>
      </c>
      <c r="E3" s="9" t="s">
        <v>52</v>
      </c>
      <c r="F3" s="8" t="s">
        <v>5</v>
      </c>
      <c r="G3" s="13" t="s">
        <v>53</v>
      </c>
      <c r="H3" s="13" t="s">
        <v>54</v>
      </c>
    </row>
    <row r="4" spans="1:8" x14ac:dyDescent="0.35">
      <c r="A4" s="10" t="s">
        <v>7</v>
      </c>
      <c r="B4" s="10" t="s">
        <v>6</v>
      </c>
      <c r="C4" s="11">
        <v>10</v>
      </c>
      <c r="D4" s="5">
        <v>41</v>
      </c>
      <c r="E4" s="5">
        <f>IF(D4&gt;40, D4-40, 0)</f>
        <v>1</v>
      </c>
      <c r="F4" s="12">
        <f>C4*D4</f>
        <v>410</v>
      </c>
      <c r="G4" s="3">
        <f>0.5*C4*E4</f>
        <v>5</v>
      </c>
      <c r="H4" s="3">
        <f>C4+G4</f>
        <v>15</v>
      </c>
    </row>
    <row r="5" spans="1:8" x14ac:dyDescent="0.35">
      <c r="A5" s="5" t="s">
        <v>9</v>
      </c>
      <c r="B5" s="10" t="s">
        <v>8</v>
      </c>
      <c r="C5" s="11">
        <v>15.9</v>
      </c>
      <c r="D5" s="10">
        <v>40</v>
      </c>
      <c r="E5" s="5">
        <f t="shared" ref="E5:E23" si="0">IF(D5&gt;40, D5-40, 0)</f>
        <v>0</v>
      </c>
      <c r="F5" s="12">
        <f t="shared" ref="F5:F23" si="1">C5*D5</f>
        <v>636</v>
      </c>
      <c r="G5" s="3">
        <f t="shared" ref="G5:G23" si="2">0.5*C5*E5</f>
        <v>0</v>
      </c>
      <c r="H5" s="3">
        <f t="shared" ref="H5:H23" si="3">C5+G5</f>
        <v>15.9</v>
      </c>
    </row>
    <row r="6" spans="1:8" x14ac:dyDescent="0.35">
      <c r="A6" s="10" t="s">
        <v>11</v>
      </c>
      <c r="B6" s="10" t="s">
        <v>10</v>
      </c>
      <c r="C6" s="11">
        <v>10</v>
      </c>
      <c r="D6" s="5">
        <v>23</v>
      </c>
      <c r="E6" s="5">
        <f t="shared" si="0"/>
        <v>0</v>
      </c>
      <c r="F6" s="12">
        <f t="shared" si="1"/>
        <v>230</v>
      </c>
      <c r="G6" s="3">
        <f t="shared" si="2"/>
        <v>0</v>
      </c>
      <c r="H6" s="3">
        <f t="shared" si="3"/>
        <v>10</v>
      </c>
    </row>
    <row r="7" spans="1:8" x14ac:dyDescent="0.35">
      <c r="A7" s="10" t="s">
        <v>13</v>
      </c>
      <c r="B7" s="10" t="s">
        <v>12</v>
      </c>
      <c r="C7" s="11">
        <v>20</v>
      </c>
      <c r="D7" s="5">
        <v>10</v>
      </c>
      <c r="E7" s="5">
        <f t="shared" si="0"/>
        <v>0</v>
      </c>
      <c r="F7" s="12">
        <f t="shared" si="1"/>
        <v>200</v>
      </c>
      <c r="G7" s="3">
        <f t="shared" si="2"/>
        <v>0</v>
      </c>
      <c r="H7" s="3">
        <f t="shared" si="3"/>
        <v>20</v>
      </c>
    </row>
    <row r="8" spans="1:8" x14ac:dyDescent="0.35">
      <c r="A8" s="10" t="s">
        <v>15</v>
      </c>
      <c r="B8" s="10" t="s">
        <v>14</v>
      </c>
      <c r="C8" s="11">
        <v>14.5</v>
      </c>
      <c r="D8" s="5">
        <v>34</v>
      </c>
      <c r="E8" s="5">
        <f t="shared" si="0"/>
        <v>0</v>
      </c>
      <c r="F8" s="12">
        <f t="shared" si="1"/>
        <v>493</v>
      </c>
      <c r="G8" s="3">
        <f t="shared" si="2"/>
        <v>0</v>
      </c>
      <c r="H8" s="3">
        <f t="shared" si="3"/>
        <v>14.5</v>
      </c>
    </row>
    <row r="9" spans="1:8" x14ac:dyDescent="0.35">
      <c r="A9" s="10" t="s">
        <v>17</v>
      </c>
      <c r="B9" s="10" t="s">
        <v>16</v>
      </c>
      <c r="C9" s="11">
        <v>18</v>
      </c>
      <c r="D9" s="5">
        <v>26</v>
      </c>
      <c r="E9" s="5">
        <f t="shared" si="0"/>
        <v>0</v>
      </c>
      <c r="F9" s="12">
        <f t="shared" si="1"/>
        <v>468</v>
      </c>
      <c r="G9" s="3">
        <f t="shared" si="2"/>
        <v>0</v>
      </c>
      <c r="H9" s="3">
        <f t="shared" si="3"/>
        <v>18</v>
      </c>
    </row>
    <row r="10" spans="1:8" x14ac:dyDescent="0.35">
      <c r="A10" s="10" t="s">
        <v>19</v>
      </c>
      <c r="B10" s="10" t="s">
        <v>18</v>
      </c>
      <c r="C10" s="11">
        <v>30</v>
      </c>
      <c r="D10" s="5">
        <v>15</v>
      </c>
      <c r="E10" s="5">
        <f t="shared" si="0"/>
        <v>0</v>
      </c>
      <c r="F10" s="12">
        <f t="shared" si="1"/>
        <v>450</v>
      </c>
      <c r="G10" s="3">
        <f t="shared" si="2"/>
        <v>0</v>
      </c>
      <c r="H10" s="3">
        <f t="shared" si="3"/>
        <v>30</v>
      </c>
    </row>
    <row r="11" spans="1:8" x14ac:dyDescent="0.35">
      <c r="A11" s="10" t="s">
        <v>21</v>
      </c>
      <c r="B11" s="10" t="s">
        <v>20</v>
      </c>
      <c r="C11" s="11">
        <v>9</v>
      </c>
      <c r="D11" s="5">
        <v>5</v>
      </c>
      <c r="E11" s="5">
        <f t="shared" si="0"/>
        <v>0</v>
      </c>
      <c r="F11" s="12">
        <f t="shared" si="1"/>
        <v>45</v>
      </c>
      <c r="G11" s="3">
        <f t="shared" si="2"/>
        <v>0</v>
      </c>
      <c r="H11" s="3">
        <f t="shared" si="3"/>
        <v>9</v>
      </c>
    </row>
    <row r="12" spans="1:8" x14ac:dyDescent="0.35">
      <c r="A12" s="10" t="s">
        <v>23</v>
      </c>
      <c r="B12" s="10" t="s">
        <v>22</v>
      </c>
      <c r="C12" s="11">
        <v>23</v>
      </c>
      <c r="D12" s="5">
        <v>10</v>
      </c>
      <c r="E12" s="5">
        <f t="shared" si="0"/>
        <v>0</v>
      </c>
      <c r="F12" s="12">
        <f t="shared" si="1"/>
        <v>230</v>
      </c>
      <c r="G12" s="3">
        <f t="shared" si="2"/>
        <v>0</v>
      </c>
      <c r="H12" s="3">
        <f t="shared" si="3"/>
        <v>23</v>
      </c>
    </row>
    <row r="13" spans="1:8" x14ac:dyDescent="0.35">
      <c r="A13" s="10" t="s">
        <v>25</v>
      </c>
      <c r="B13" s="10" t="s">
        <v>24</v>
      </c>
      <c r="C13" s="11">
        <v>26</v>
      </c>
      <c r="D13" s="5">
        <v>40</v>
      </c>
      <c r="E13" s="5">
        <f t="shared" si="0"/>
        <v>0</v>
      </c>
      <c r="F13" s="12">
        <f t="shared" si="1"/>
        <v>1040</v>
      </c>
      <c r="G13" s="3">
        <f t="shared" si="2"/>
        <v>0</v>
      </c>
      <c r="H13" s="3">
        <f t="shared" si="3"/>
        <v>26</v>
      </c>
    </row>
    <row r="14" spans="1:8" x14ac:dyDescent="0.35">
      <c r="A14" s="10" t="s">
        <v>27</v>
      </c>
      <c r="B14" s="10" t="s">
        <v>26</v>
      </c>
      <c r="C14" s="11">
        <v>15</v>
      </c>
      <c r="D14" s="5">
        <v>40</v>
      </c>
      <c r="E14" s="5">
        <f t="shared" si="0"/>
        <v>0</v>
      </c>
      <c r="F14" s="12">
        <f t="shared" si="1"/>
        <v>600</v>
      </c>
      <c r="G14" s="3">
        <f t="shared" si="2"/>
        <v>0</v>
      </c>
      <c r="H14" s="3">
        <f t="shared" si="3"/>
        <v>15</v>
      </c>
    </row>
    <row r="15" spans="1:8" x14ac:dyDescent="0.35">
      <c r="A15" s="10" t="s">
        <v>29</v>
      </c>
      <c r="B15" s="10" t="s">
        <v>28</v>
      </c>
      <c r="C15" s="11">
        <v>14.7</v>
      </c>
      <c r="D15" s="5">
        <v>40</v>
      </c>
      <c r="E15" s="5">
        <f t="shared" si="0"/>
        <v>0</v>
      </c>
      <c r="F15" s="12">
        <f t="shared" si="1"/>
        <v>588</v>
      </c>
      <c r="G15" s="3">
        <f t="shared" si="2"/>
        <v>0</v>
      </c>
      <c r="H15" s="3">
        <f t="shared" si="3"/>
        <v>14.7</v>
      </c>
    </row>
    <row r="16" spans="1:8" x14ac:dyDescent="0.35">
      <c r="A16" s="10" t="s">
        <v>31</v>
      </c>
      <c r="B16" s="10" t="s">
        <v>30</v>
      </c>
      <c r="C16" s="11">
        <v>12</v>
      </c>
      <c r="D16" s="5">
        <v>56</v>
      </c>
      <c r="E16" s="5">
        <f t="shared" si="0"/>
        <v>16</v>
      </c>
      <c r="F16" s="12">
        <f t="shared" si="1"/>
        <v>672</v>
      </c>
      <c r="G16" s="3">
        <f t="shared" si="2"/>
        <v>96</v>
      </c>
      <c r="H16" s="3">
        <f t="shared" si="3"/>
        <v>108</v>
      </c>
    </row>
    <row r="17" spans="1:8" x14ac:dyDescent="0.35">
      <c r="A17" s="10" t="s">
        <v>33</v>
      </c>
      <c r="B17" s="10" t="s">
        <v>32</v>
      </c>
      <c r="C17" s="11">
        <v>17</v>
      </c>
      <c r="D17" s="5">
        <v>22</v>
      </c>
      <c r="E17" s="5">
        <f t="shared" si="0"/>
        <v>0</v>
      </c>
      <c r="F17" s="12">
        <f t="shared" si="1"/>
        <v>374</v>
      </c>
      <c r="G17" s="3">
        <f t="shared" si="2"/>
        <v>0</v>
      </c>
      <c r="H17" s="3">
        <f t="shared" si="3"/>
        <v>17</v>
      </c>
    </row>
    <row r="18" spans="1:8" x14ac:dyDescent="0.35">
      <c r="A18" s="10" t="s">
        <v>35</v>
      </c>
      <c r="B18" s="10" t="s">
        <v>34</v>
      </c>
      <c r="C18" s="11">
        <v>17.16</v>
      </c>
      <c r="D18" s="5">
        <v>66</v>
      </c>
      <c r="E18" s="5">
        <f t="shared" si="0"/>
        <v>26</v>
      </c>
      <c r="F18" s="12">
        <f t="shared" si="1"/>
        <v>1132.56</v>
      </c>
      <c r="G18" s="3">
        <f t="shared" si="2"/>
        <v>223.08</v>
      </c>
      <c r="H18" s="3">
        <f t="shared" si="3"/>
        <v>240.24</v>
      </c>
    </row>
    <row r="19" spans="1:8" x14ac:dyDescent="0.35">
      <c r="A19" s="10" t="s">
        <v>37</v>
      </c>
      <c r="B19" s="10" t="s">
        <v>36</v>
      </c>
      <c r="C19" s="11">
        <v>19.559999999999999</v>
      </c>
      <c r="D19" s="5">
        <v>22</v>
      </c>
      <c r="E19" s="5">
        <f t="shared" si="0"/>
        <v>0</v>
      </c>
      <c r="F19" s="12">
        <f t="shared" si="1"/>
        <v>430.32</v>
      </c>
      <c r="G19" s="3">
        <f t="shared" si="2"/>
        <v>0</v>
      </c>
      <c r="H19" s="3">
        <f t="shared" si="3"/>
        <v>19.559999999999999</v>
      </c>
    </row>
    <row r="20" spans="1:8" x14ac:dyDescent="0.35">
      <c r="A20" s="10" t="s">
        <v>39</v>
      </c>
      <c r="B20" s="10" t="s">
        <v>38</v>
      </c>
      <c r="C20" s="11">
        <v>20</v>
      </c>
      <c r="D20" s="5">
        <v>34</v>
      </c>
      <c r="E20" s="5">
        <f t="shared" si="0"/>
        <v>0</v>
      </c>
      <c r="F20" s="12">
        <f t="shared" si="1"/>
        <v>680</v>
      </c>
      <c r="G20" s="3">
        <f t="shared" si="2"/>
        <v>0</v>
      </c>
      <c r="H20" s="3">
        <f t="shared" si="3"/>
        <v>20</v>
      </c>
    </row>
    <row r="21" spans="1:8" x14ac:dyDescent="0.35">
      <c r="A21" s="10" t="s">
        <v>41</v>
      </c>
      <c r="B21" s="10" t="s">
        <v>40</v>
      </c>
      <c r="C21" s="11">
        <v>25.12</v>
      </c>
      <c r="D21" s="5">
        <v>11</v>
      </c>
      <c r="E21" s="5">
        <f t="shared" si="0"/>
        <v>0</v>
      </c>
      <c r="F21" s="12">
        <f t="shared" si="1"/>
        <v>276.32</v>
      </c>
      <c r="G21" s="3">
        <f t="shared" si="2"/>
        <v>0</v>
      </c>
      <c r="H21" s="3">
        <f t="shared" si="3"/>
        <v>25.12</v>
      </c>
    </row>
    <row r="22" spans="1:8" x14ac:dyDescent="0.35">
      <c r="A22" s="10" t="s">
        <v>43</v>
      </c>
      <c r="B22" s="10" t="s">
        <v>42</v>
      </c>
      <c r="C22" s="11">
        <v>33</v>
      </c>
      <c r="D22" s="10">
        <v>35</v>
      </c>
      <c r="E22" s="5">
        <f t="shared" si="0"/>
        <v>0</v>
      </c>
      <c r="F22" s="12">
        <f t="shared" si="1"/>
        <v>1155</v>
      </c>
      <c r="G22" s="3">
        <f t="shared" si="2"/>
        <v>0</v>
      </c>
      <c r="H22" s="3">
        <f t="shared" si="3"/>
        <v>33</v>
      </c>
    </row>
    <row r="23" spans="1:8" x14ac:dyDescent="0.35">
      <c r="A23" s="10" t="s">
        <v>45</v>
      </c>
      <c r="B23" s="10" t="s">
        <v>44</v>
      </c>
      <c r="C23" s="11">
        <v>27.34</v>
      </c>
      <c r="D23" s="5">
        <v>45</v>
      </c>
      <c r="E23" s="5">
        <f t="shared" si="0"/>
        <v>5</v>
      </c>
      <c r="F23" s="12">
        <f t="shared" si="1"/>
        <v>1230.3</v>
      </c>
      <c r="G23" s="3">
        <f t="shared" si="2"/>
        <v>68.349999999999994</v>
      </c>
      <c r="H23" s="3">
        <f t="shared" si="3"/>
        <v>95.69</v>
      </c>
    </row>
    <row r="25" spans="1:8" x14ac:dyDescent="0.35">
      <c r="A25" s="4" t="s">
        <v>47</v>
      </c>
      <c r="B25" s="5"/>
      <c r="C25" s="6">
        <f>MAX(C4:C23)</f>
        <v>33</v>
      </c>
      <c r="D25" s="7">
        <f>MAX(D4:D23)</f>
        <v>66</v>
      </c>
      <c r="E25" s="7">
        <f>MAX(E4:E23)</f>
        <v>26</v>
      </c>
      <c r="F25" s="7">
        <f>MAX(F4:F23)</f>
        <v>1230.3</v>
      </c>
      <c r="G25" s="7">
        <f t="shared" ref="G25:H25" si="4">MAX(G4:G23)</f>
        <v>223.08</v>
      </c>
      <c r="H25" s="7">
        <f t="shared" si="4"/>
        <v>240.24</v>
      </c>
    </row>
    <row r="26" spans="1:8" x14ac:dyDescent="0.35">
      <c r="A26" s="4" t="s">
        <v>48</v>
      </c>
      <c r="B26" s="5"/>
      <c r="C26" s="6">
        <f>MIN(C4:C23)</f>
        <v>9</v>
      </c>
      <c r="D26" s="7">
        <f>MIN(D4:D23)</f>
        <v>5</v>
      </c>
      <c r="E26" s="7">
        <f>MIN(E4:E23)</f>
        <v>0</v>
      </c>
      <c r="F26" s="7">
        <f>MIN(F4:F23)</f>
        <v>45</v>
      </c>
      <c r="G26" s="7">
        <f t="shared" ref="G26:H26" si="5">MIN(G4:G23)</f>
        <v>0</v>
      </c>
      <c r="H26" s="7">
        <f t="shared" si="5"/>
        <v>9</v>
      </c>
    </row>
    <row r="27" spans="1:8" x14ac:dyDescent="0.35">
      <c r="A27" s="4" t="s">
        <v>49</v>
      </c>
      <c r="B27" s="5"/>
      <c r="C27" s="6">
        <f>AVERAGE(C4:C23)</f>
        <v>18.863999999999997</v>
      </c>
      <c r="D27" s="7">
        <f>AVERAGE(D4:D23)</f>
        <v>30.75</v>
      </c>
      <c r="E27" s="7">
        <f>AVERAGE(E4:E23)</f>
        <v>2.4</v>
      </c>
      <c r="F27" s="7">
        <f>AVERAGE(F4:F23)</f>
        <v>567.02499999999986</v>
      </c>
      <c r="G27" s="7">
        <f t="shared" ref="G27:H27" si="6">AVERAGE(G4:G23)</f>
        <v>19.621500000000005</v>
      </c>
      <c r="H27" s="7">
        <f t="shared" si="6"/>
        <v>38.485500000000002</v>
      </c>
    </row>
    <row r="28" spans="1:8" x14ac:dyDescent="0.35">
      <c r="A28" s="4" t="s">
        <v>50</v>
      </c>
      <c r="B28" s="5"/>
      <c r="C28" s="6">
        <f>SUM(C4:C23)</f>
        <v>377.28</v>
      </c>
      <c r="D28" s="7">
        <f>SUM(D4:D23)</f>
        <v>615</v>
      </c>
      <c r="E28" s="7">
        <f>SUM(E4:E23)</f>
        <v>48</v>
      </c>
      <c r="F28" s="7">
        <f>SUM(F4:F23)</f>
        <v>11340.499999999998</v>
      </c>
      <c r="G28" s="7">
        <f t="shared" ref="G28:H28" si="7">SUM(G4:G23)</f>
        <v>392.43000000000006</v>
      </c>
      <c r="H28" s="7">
        <f t="shared" si="7"/>
        <v>769.71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 Bhalerao</dc:creator>
  <cp:lastModifiedBy>Kinnari Bhalerao</cp:lastModifiedBy>
  <dcterms:created xsi:type="dcterms:W3CDTF">2025-12-01T16:49:46Z</dcterms:created>
  <dcterms:modified xsi:type="dcterms:W3CDTF">2025-12-01T17:46:45Z</dcterms:modified>
</cp:coreProperties>
</file>